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8300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Statistics" sheetId="2" state="visible" r:id="rId2"/>
  </sheets>
  <definedNames>
    <definedName name="_xlchart.v1.0" hidden="1">Statistics!$A$3:$A$73</definedName>
    <definedName name="_xlchart.v1.1" hidden="1">Statistics!$B$3:$B$73</definedName>
    <definedName name="_xlchart.v1.2" hidden="1">Statistics!$C$3:$C$73</definedName>
    <definedName name="_xlchart.v1.3" hidden="1">Statistics!$D$3:$D$73</definedName>
    <definedName name="_xlchart.v1.4" hidden="1">Statistics!$E$3:$E$73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6">
    <font>
      <name val="Arial"/>
      <color rgb="FF000000"/>
      <sz val="10"/>
    </font>
    <font>
      <name val="Arial"/>
      <color rgb="FF38761D"/>
      <sz val="10"/>
      <u val="single"/>
    </font>
    <font>
      <name val="Arial"/>
      <sz val="10"/>
    </font>
    <font>
      <name val="Roboto"/>
      <sz val="10"/>
    </font>
    <font>
      <name val="Roboto"/>
      <b val="1"/>
      <color rgb="FFFFFFFF"/>
      <sz val="10"/>
    </font>
    <font>
      <name val="Roboto"/>
      <color rgb="FFFFFFFF"/>
      <sz val="10"/>
    </font>
    <font>
      <name val="Roboto"/>
      <b val="1"/>
      <color rgb="FFF3F3F3"/>
      <sz val="26"/>
    </font>
    <font>
      <name val="Roboto"/>
      <color rgb="FFF3F3F3"/>
      <sz val="24"/>
    </font>
    <font>
      <name val="Roboto"/>
      <b val="1"/>
      <sz val="11"/>
    </font>
    <font>
      <name val="Roboto"/>
      <sz val="11"/>
    </font>
    <font>
      <name val="Arial"/>
      <b val="1"/>
      <sz val="12"/>
    </font>
    <font>
      <name val="Arial"/>
      <sz val="12"/>
    </font>
    <font>
      <name val="Arial"/>
      <b val="1"/>
      <sz val="10"/>
    </font>
    <font>
      <name val="Arial"/>
      <sz val="18"/>
    </font>
    <font>
      <name val="Arial"/>
      <b val="1"/>
      <i val="1"/>
      <sz val="12"/>
    </font>
    <font>
      <name val="Arial"/>
      <family val="2"/>
      <b val="1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rgb="FFF1C232"/>
        <bgColor rgb="FFF1C232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4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1" pivotButton="0" quotePrefix="0" xfId="0"/>
    <xf numFmtId="0" fontId="3" fillId="2" borderId="0" pivotButton="0" quotePrefix="0" xfId="0"/>
    <xf numFmtId="0" fontId="4" fillId="2" borderId="0" applyAlignment="1" pivotButton="0" quotePrefix="0" xfId="0">
      <alignment horizontal="center"/>
    </xf>
    <xf numFmtId="0" fontId="5" fillId="2" borderId="0" pivotButton="0" quotePrefix="0" xfId="0"/>
    <xf numFmtId="0" fontId="2" fillId="2" borderId="0" pivotButton="0" quotePrefix="0" xfId="0"/>
    <xf numFmtId="0" fontId="6" fillId="2" borderId="1" pivotButton="0" quotePrefix="0" xfId="0"/>
    <xf numFmtId="0" fontId="4" fillId="2" borderId="0" pivotButton="0" quotePrefix="0" xfId="0"/>
    <xf numFmtId="0" fontId="7" fillId="2" borderId="1" pivotButton="0" quotePrefix="0" xfId="0"/>
    <xf numFmtId="0" fontId="7" fillId="2" borderId="0" pivotButton="0" quotePrefix="0" xfId="0"/>
    <xf numFmtId="0" fontId="2" fillId="3" borderId="0" pivotButton="0" quotePrefix="0" xfId="0"/>
    <xf numFmtId="0" fontId="8" fillId="3" borderId="0" pivotButton="0" quotePrefix="0" xfId="0"/>
    <xf numFmtId="0" fontId="3" fillId="3" borderId="0" pivotButton="0" quotePrefix="0" xfId="0"/>
    <xf numFmtId="0" fontId="12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3" fontId="13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14" fillId="0" borderId="0" pivotButton="0" quotePrefix="0" xfId="0"/>
    <xf numFmtId="0" fontId="0" fillId="0" borderId="0" pivotButton="0" quotePrefix="0" xfId="0"/>
    <xf numFmtId="0" fontId="15" fillId="0" borderId="3" applyAlignment="1" pivotButton="0" quotePrefix="0" xfId="0">
      <alignment horizontal="center"/>
    </xf>
    <xf numFmtId="0" fontId="9" fillId="3" borderId="0" applyAlignment="1" pivotButton="0" quotePrefix="0" xfId="0">
      <alignment horizontal="left"/>
    </xf>
    <xf numFmtId="0" fontId="0" fillId="0" borderId="0" pivotButton="0" quotePrefix="0" xfId="0"/>
    <xf numFmtId="0" fontId="15" fillId="0" borderId="2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5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4" pivotButton="0" quotePrefix="0" xfId="0"/>
    <xf numFmtId="3" fontId="11" fillId="0" borderId="5" pivotButton="0" quotePrefix="0" xfId="0"/>
    <xf numFmtId="0" fontId="0" fillId="0" borderId="1" pivotButton="0" quotePrefix="0" xfId="0"/>
    <xf numFmtId="0" fontId="9" fillId="3" borderId="1" applyAlignment="1" pivotButton="0" quotePrefix="0" xfId="0">
      <alignment horizontal="left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Total</a:t>
            </a:r>
            <a:r>
              <a:rPr lang="en-CA" baseline="0"/>
              <a:t xml:space="preserve"> Published Submissions</a:t>
            </a:r>
            <a:endParaRPr lang="en-CA"/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Statistics!$A$3:$A$10</f>
              <numCache>
                <formatCode>General</formatCode>
                <ptCount val="8"/>
              </numCache>
            </numRef>
          </cat>
          <val>
            <numRef>
              <f>Statistics!$B$3:$B$10</f>
              <numCache>
                <formatCode>General</formatCode>
                <ptCount val="8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13423423"/>
        <axId val="1413432159"/>
      </barChart>
      <catAx>
        <axId val="141342342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 xml:space="preserve">Journal 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816838667784621"/>
              <y val="0.8910393373385499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9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32159"/>
        <crosses val="autoZero"/>
        <auto val="1"/>
        <lblAlgn val="ctr"/>
        <lblOffset val="100"/>
        <noMultiLvlLbl val="0"/>
      </catAx>
      <valAx>
        <axId val="141343215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Total</a:t>
                </a:r>
                <a:r>
                  <a:rPr lang="en-CA" baseline="0"/>
                  <a:t xml:space="preserve"> Published Submissions</a:t>
                </a:r>
                <a:endParaRPr lang="en-CA"/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2342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Total</a:t>
            </a:r>
            <a:r>
              <a:rPr lang="en-CA" baseline="0"/>
              <a:t xml:space="preserve"> Published Issues</a:t>
            </a:r>
            <a:endParaRPr lang="en-CA"/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211659091052369"/>
          <y val="0.1542203742203742"/>
          <w val="0.8612199996217447"/>
          <h val="0.425985888978015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Statistics!$A$3:$A$10</f>
              <numCache>
                <formatCode>General</formatCode>
                <ptCount val="8"/>
              </numCache>
            </numRef>
          </cat>
          <val>
            <numRef>
              <f>Statistics!$C$3:$C$10</f>
              <numCache>
                <formatCode>General</formatCode>
                <ptCount val="8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13423423"/>
        <axId val="1413432159"/>
      </barChart>
      <catAx>
        <axId val="141342342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 xml:space="preserve">Journal 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816838667784621"/>
              <y val="0.8910393373385499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9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32159"/>
        <crosses val="autoZero"/>
        <auto val="1"/>
        <lblAlgn val="ctr"/>
        <lblOffset val="100"/>
        <noMultiLvlLbl val="0"/>
      </catAx>
      <valAx>
        <axId val="141343215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Total</a:t>
                </a:r>
                <a:r>
                  <a:rPr lang="en-CA" baseline="0"/>
                  <a:t xml:space="preserve"> Published Issues</a:t>
                </a:r>
                <a:endParaRPr lang="en-CA"/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2342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Abstract Views (Previous Month)</a:t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211659091052369"/>
          <y val="0.1542203742203742"/>
          <w val="0.8612199996217447"/>
          <h val="0.425985888978015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Statistics!$A$3:$A$10</f>
              <numCache>
                <formatCode>General</formatCode>
                <ptCount val="8"/>
              </numCache>
            </numRef>
          </cat>
          <val>
            <numRef>
              <f>Statistics!$D$3:$D$10</f>
              <numCache>
                <formatCode>General</formatCode>
                <ptCount val="8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13423423"/>
        <axId val="1413432159"/>
      </barChart>
      <catAx>
        <axId val="141342342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 xml:space="preserve">Journal 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816838667784621"/>
              <y val="0.8910393373385499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9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32159"/>
        <crosses val="autoZero"/>
        <auto val="1"/>
        <lblAlgn val="ctr"/>
        <lblOffset val="100"/>
        <noMultiLvlLbl val="0"/>
      </catAx>
      <valAx>
        <axId val="141343215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Abstrat Views Previous Month</a:t>
                </a: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2342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Galley Views (Previous Month)</a:t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211659091052369"/>
          <y val="0.1542203742203742"/>
          <w val="0.8612199996217447"/>
          <h val="0.425985888978015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Statistics!$A$3:$A$10</f>
              <numCache>
                <formatCode>General</formatCode>
                <ptCount val="8"/>
              </numCache>
            </numRef>
          </cat>
          <val>
            <numRef>
              <f>Statistics!$E$3:$E$10</f>
              <numCache>
                <formatCode>General</formatCode>
                <ptCount val="8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13423423"/>
        <axId val="1413432159"/>
      </barChart>
      <catAx>
        <axId val="141342342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 xml:space="preserve">Journal 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816838667784621"/>
              <y val="0.8910393373385499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9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32159"/>
        <crosses val="autoZero"/>
        <auto val="1"/>
        <lblAlgn val="ctr"/>
        <lblOffset val="100"/>
        <noMultiLvlLbl val="0"/>
      </catAx>
      <valAx>
        <axId val="141343215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Galley Views Previous Month</a:t>
                </a: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2342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image" Target="/xl/media/image1.png" Id="rId5"/></Relationships>
</file>

<file path=xl/drawings/drawing1.xml><?xml version="1.0" encoding="utf-8"?>
<wsDr xmlns="http://schemas.openxmlformats.org/drawingml/2006/spreadsheetDrawing">
  <twoCellAnchor>
    <from>
      <col>0</col>
      <colOff>177800</colOff>
      <row>10</row>
      <rowOff>12700</rowOff>
    </from>
    <to>
      <col>9</col>
      <colOff>488950</colOff>
      <row>26</row>
      <rowOff>12700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190500</colOff>
      <row>27</row>
      <rowOff>107950</rowOff>
    </from>
    <to>
      <col>9</col>
      <colOff>501650</colOff>
      <row>43</row>
      <rowOff>12700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146050</colOff>
      <row>44</row>
      <rowOff>127000</rowOff>
    </from>
    <to>
      <col>9</col>
      <colOff>457200</colOff>
      <row>60</row>
      <rowOff>31750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146050</colOff>
      <row>61</row>
      <rowOff>133350</rowOff>
    </from>
    <to>
      <col>9</col>
      <colOff>457200</colOff>
      <row>77</row>
      <rowOff>38100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oneCellAnchor>
    <from>
      <col>1</col>
      <colOff>0</colOff>
      <row>1</row>
      <rowOff>0</rowOff>
    </from>
    <ext cx="723900" cy="200025"/>
    <pic>
      <nvPicPr>
        <cNvPr id="4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80"/>
  <sheetViews>
    <sheetView tabSelected="1" workbookViewId="0">
      <pane ySplit="4" topLeftCell="A44" activePane="bottomLeft" state="frozen"/>
      <selection pane="bottomLeft" activeCell="J8" sqref="J8"/>
    </sheetView>
  </sheetViews>
  <sheetFormatPr baseColWidth="8" defaultColWidth="12.6328125" defaultRowHeight="15.75" customHeight="1"/>
  <cols>
    <col width="3.6328125" customWidth="1" style="26" min="1" max="1"/>
    <col width="17.6328125" customWidth="1" style="26" min="2" max="2"/>
    <col width="6.453125" customWidth="1" style="26" min="3" max="3"/>
    <col width="20.453125" customWidth="1" style="26" min="4" max="4"/>
    <col width="10.36328125" customWidth="1" style="26" min="8" max="8"/>
    <col width="22.08984375" customWidth="1" style="26" min="11" max="11"/>
  </cols>
  <sheetData>
    <row r="1" ht="13" customHeight="1" s="26">
      <c r="A1" s="1">
        <f>HYPERLINK("https://library.ualberta.ca/publishing","https://library.ualberta.ca/publishing")</f>
        <v/>
      </c>
      <c r="B1" s="8" t="n"/>
      <c r="C1" s="5" t="n"/>
      <c r="D1" s="5" t="n"/>
      <c r="E1" s="4" t="inlineStr">
        <is>
          <t>OJS Journal Monthly Statistics Report</t>
        </is>
      </c>
      <c r="F1" s="5" t="n"/>
      <c r="G1" s="5" t="n"/>
      <c r="H1" s="6" t="inlineStr">
        <is>
          <t>Coverage:</t>
        </is>
      </c>
      <c r="I1" s="7" t="inlineStr">
        <is>
          <t>2024-09</t>
        </is>
      </c>
      <c r="J1" s="5" t="n"/>
      <c r="K1" s="8" t="n"/>
    </row>
    <row r="2" ht="33" customHeight="1" s="26">
      <c r="A2" s="8" t="n"/>
      <c r="B2" s="8" t="n"/>
      <c r="C2" s="5" t="n"/>
      <c r="D2" s="5" t="n"/>
      <c r="E2" s="9" t="n"/>
      <c r="F2" s="10" t="n"/>
      <c r="G2" s="5" t="n"/>
      <c r="H2" s="5" t="n"/>
      <c r="I2" s="5" t="n"/>
      <c r="J2" s="5" t="n"/>
      <c r="K2" s="8" t="n"/>
    </row>
    <row r="3" ht="30.5" customHeight="1" s="26">
      <c r="A3" s="8" t="n"/>
      <c r="B3" s="8" t="n"/>
      <c r="C3" s="5" t="n"/>
      <c r="D3" s="5" t="n"/>
      <c r="E3" s="5" t="n"/>
      <c r="F3" s="11" t="n"/>
      <c r="G3" s="12" t="n"/>
      <c r="H3" s="5" t="n"/>
      <c r="I3" s="5" t="n"/>
      <c r="J3" s="5" t="n"/>
      <c r="K3" s="8" t="n"/>
    </row>
    <row r="4" ht="14.5" customHeight="1" s="26">
      <c r="A4" s="13" t="n"/>
      <c r="B4" s="14" t="inlineStr">
        <is>
          <t>Report created on:</t>
        </is>
      </c>
      <c r="C4" s="38" t="inlineStr">
        <is>
          <t>2024-10-22</t>
        </is>
      </c>
      <c r="E4" s="15" t="n"/>
      <c r="F4" s="15" t="n"/>
      <c r="G4" s="15" t="n"/>
      <c r="H4" s="15" t="n"/>
      <c r="I4" s="15" t="n"/>
      <c r="J4" s="15" t="n"/>
      <c r="K4" s="13" t="n"/>
    </row>
    <row r="6" ht="15.5" customHeight="1" s="26">
      <c r="D6" s="33" t="n"/>
      <c r="E6" s="34" t="n"/>
      <c r="F6" s="34" t="n"/>
      <c r="G6" s="34" t="n"/>
      <c r="H6" s="34" t="n"/>
      <c r="I6" s="35" t="n"/>
      <c r="J6" s="36" t="n"/>
    </row>
    <row r="7" ht="17.25" customHeight="1" s="26">
      <c r="B7" s="16" t="n"/>
      <c r="G7" s="17" t="n"/>
    </row>
    <row r="8" ht="22.5" customHeight="1" s="26">
      <c r="B8" s="18" t="n"/>
    </row>
    <row r="9" ht="12.5" customHeight="1" s="26">
      <c r="K9" s="20" t="n"/>
    </row>
    <row r="10" ht="13" customHeight="1" s="26">
      <c r="B10" s="16" t="n"/>
    </row>
    <row r="11" ht="22.5" customHeight="1" s="26">
      <c r="B11" s="18" t="n"/>
    </row>
    <row r="12" ht="12.5" customHeight="1" s="26">
      <c r="B12" s="20" t="n"/>
    </row>
    <row r="13" ht="13" customHeight="1" s="26">
      <c r="B13" s="20" t="n"/>
      <c r="J13" s="17" t="n"/>
    </row>
    <row r="14" ht="12.5" customHeight="1" s="26">
      <c r="B14" s="21" t="n"/>
    </row>
    <row r="16" ht="12.5" customHeight="1" s="26">
      <c r="B16" s="20" t="n"/>
    </row>
    <row r="17" ht="12.5" customHeight="1" s="26">
      <c r="B17" s="21" t="n"/>
    </row>
    <row r="80" ht="15.5" customHeight="1" s="26">
      <c r="B80" s="22" t="n"/>
    </row>
  </sheetData>
  <mergeCells count="1">
    <mergeCell ref="C4:D4"/>
  </mergeCells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3" sqref="A3:E10"/>
    </sheetView>
  </sheetViews>
  <sheetFormatPr baseColWidth="8" defaultRowHeight="12.5"/>
  <cols>
    <col width="50.08984375" customWidth="1" style="26" min="1" max="1"/>
    <col width="13.7265625" customWidth="1" style="26" min="2" max="2"/>
    <col width="12.7265625" customWidth="1" style="26" min="3" max="3"/>
    <col width="13.7265625" bestFit="1" customWidth="1" style="26" min="4" max="4"/>
    <col width="11.7265625" bestFit="1" customWidth="1" style="26" min="5" max="5"/>
  </cols>
  <sheetData>
    <row r="1" ht="13.5" customHeight="1" s="26" thickBot="1">
      <c r="A1" s="27" t="inlineStr">
        <is>
          <t>Journal Title</t>
        </is>
      </c>
      <c r="B1" s="29" t="inlineStr">
        <is>
          <t xml:space="preserve">Total Published </t>
        </is>
      </c>
      <c r="C1" s="39" t="n"/>
      <c r="D1" s="31" t="inlineStr">
        <is>
          <t>Monthly Views</t>
        </is>
      </c>
      <c r="E1" s="39" t="n"/>
    </row>
    <row r="2" ht="14" customHeight="1" s="26" thickBot="1" thickTop="1">
      <c r="B2" s="24" t="inlineStr">
        <is>
          <t>Submissions</t>
        </is>
      </c>
      <c r="C2" s="24" t="inlineStr">
        <is>
          <t>Issues</t>
        </is>
      </c>
      <c r="D2" s="24" t="inlineStr">
        <is>
          <t>Abstract</t>
        </is>
      </c>
      <c r="E2" s="24" t="inlineStr">
        <is>
          <t>Galley</t>
        </is>
      </c>
    </row>
    <row r="3" ht="13" customHeight="1" s="26" thickTop="1">
      <c r="A3" s="37" t="inlineStr">
        <is>
          <t>Phenomenology and Practice</t>
        </is>
      </c>
      <c r="B3" s="37" t="n">
        <v>219</v>
      </c>
      <c r="C3" s="37" t="n">
        <v>26</v>
      </c>
      <c r="D3" s="37" t="n">
        <v>3721</v>
      </c>
      <c r="E3" s="37" t="n">
        <v>3996</v>
      </c>
    </row>
    <row r="4">
      <c r="A4" s="37" t="inlineStr">
        <is>
          <t>Alternative Francophone</t>
        </is>
      </c>
      <c r="B4" s="37" t="n">
        <v>221</v>
      </c>
      <c r="C4" s="37" t="n">
        <v>24</v>
      </c>
      <c r="D4" s="37" t="n">
        <v>2260</v>
      </c>
      <c r="E4" s="37" t="n">
        <v>1584</v>
      </c>
    </row>
    <row r="5">
      <c r="A5" s="37" t="inlineStr">
        <is>
          <t>Annals of Social Studies Education Research for Teachers</t>
        </is>
      </c>
      <c r="B5" s="37" t="n">
        <v>60</v>
      </c>
      <c r="C5" s="37" t="n">
        <v>9</v>
      </c>
      <c r="D5" s="37" t="n">
        <v>648</v>
      </c>
      <c r="E5" s="37" t="n">
        <v>1421</v>
      </c>
    </row>
    <row r="6">
      <c r="A6" s="37" t="inlineStr">
        <is>
          <t>Blue Jay</t>
        </is>
      </c>
      <c r="B6" s="37" t="n">
        <v>5767</v>
      </c>
      <c r="C6" s="37" t="n">
        <v>321</v>
      </c>
      <c r="D6" s="37" t="n">
        <v>20208</v>
      </c>
      <c r="E6" s="37" t="n">
        <v>5322</v>
      </c>
    </row>
    <row r="7">
      <c r="A7" s="37" t="inlineStr">
        <is>
          <t>Canadian Journal Of Emergency Nursing</t>
        </is>
      </c>
      <c r="B7" s="37" t="n">
        <v>364</v>
      </c>
      <c r="C7" s="37" t="n">
        <v>54</v>
      </c>
      <c r="D7" s="37" t="n">
        <v>2790</v>
      </c>
      <c r="E7" s="37" t="n">
        <v>3008</v>
      </c>
    </row>
    <row r="8">
      <c r="A8" s="37" t="inlineStr">
        <is>
          <t>Canadian Journal of Family and Youth</t>
        </is>
      </c>
      <c r="B8" s="37" t="n">
        <v>629</v>
      </c>
      <c r="C8" s="37" t="n">
        <v>28</v>
      </c>
      <c r="D8" s="37" t="n">
        <v>8167</v>
      </c>
      <c r="E8" s="37" t="n">
        <v>9127</v>
      </c>
    </row>
    <row r="9">
      <c r="A9" s="37" t="inlineStr">
        <is>
          <t>Canadian Journal of Learning and Technology</t>
        </is>
      </c>
      <c r="B9" s="37" t="n">
        <v>1049</v>
      </c>
      <c r="C9" s="37" t="n">
        <v>169</v>
      </c>
      <c r="D9" s="37" t="n">
        <v>14084</v>
      </c>
      <c r="E9" s="37" t="n">
        <v>11988</v>
      </c>
    </row>
    <row r="10">
      <c r="A10" s="37" t="inlineStr">
        <is>
          <t>Canadian Journal of Nonprofit and Social Economy Research</t>
        </is>
      </c>
      <c r="B10" s="37" t="n">
        <v>275</v>
      </c>
      <c r="C10" s="37" t="n">
        <v>33</v>
      </c>
      <c r="D10" s="37" t="n">
        <v>4726</v>
      </c>
      <c r="E10" s="37" t="n">
        <v>3645</v>
      </c>
    </row>
    <row r="11">
      <c r="A11" t="inlineStr">
        <is>
          <t>Canadian Review of Comparative Literature/Revue Canadienne de Litterature Comparee</t>
        </is>
      </c>
      <c r="B11" t="n">
        <v>1682</v>
      </c>
      <c r="C11" t="n">
        <v>165</v>
      </c>
      <c r="D11" t="n">
        <v>2730</v>
      </c>
      <c r="E11" t="n">
        <v>3585</v>
      </c>
    </row>
    <row r="12">
      <c r="A12" t="inlineStr">
        <is>
          <t>Canadian Social Studies</t>
        </is>
      </c>
      <c r="B12" t="n">
        <v>29</v>
      </c>
      <c r="C12" t="n">
        <v>8</v>
      </c>
      <c r="D12" t="n">
        <v>111</v>
      </c>
      <c r="E12" t="n">
        <v>79</v>
      </c>
    </row>
    <row r="13">
      <c r="A13" t="inlineStr">
        <is>
          <t>Critical Gambling Studies</t>
        </is>
      </c>
      <c r="B13" t="n">
        <v>106</v>
      </c>
      <c r="C13" t="n">
        <v>9</v>
      </c>
      <c r="D13" t="n">
        <v>1669</v>
      </c>
      <c r="E13" t="n">
        <v>1084</v>
      </c>
    </row>
    <row r="14">
      <c r="A14" t="inlineStr">
        <is>
          <t>Cultural and Pedagogical Inquiry</t>
        </is>
      </c>
      <c r="B14" t="n">
        <v>438</v>
      </c>
      <c r="C14" t="n">
        <v>29</v>
      </c>
      <c r="D14" t="n">
        <v>2539</v>
      </c>
      <c r="E14" t="n">
        <v>2346</v>
      </c>
    </row>
    <row r="15">
      <c r="A15" t="inlineStr">
        <is>
          <t>East/West: Journal of Ukrainian Studies</t>
        </is>
      </c>
      <c r="B15" t="n">
        <v>365</v>
      </c>
      <c r="C15" t="n">
        <v>18</v>
      </c>
      <c r="D15" t="n">
        <v>6060</v>
      </c>
      <c r="E15" t="n">
        <v>3742</v>
      </c>
    </row>
    <row r="16">
      <c r="A16" t="inlineStr">
        <is>
          <t>Education francophone en milieu minoritaire</t>
        </is>
      </c>
      <c r="B16" t="n">
        <v>26</v>
      </c>
      <c r="C16" t="n">
        <v>19</v>
      </c>
      <c r="D16" t="n">
        <v>132</v>
      </c>
      <c r="E16" t="n">
        <v>83</v>
      </c>
    </row>
    <row r="17">
      <c r="A17" t="inlineStr">
        <is>
          <t>eLucidate</t>
        </is>
      </c>
      <c r="B17" t="n">
        <v>786</v>
      </c>
      <c r="C17" t="n">
        <v>68</v>
      </c>
      <c r="D17" t="n">
        <v>2694</v>
      </c>
      <c r="E17" t="n">
        <v>2698</v>
      </c>
    </row>
    <row r="18">
      <c r="A18" t="inlineStr">
        <is>
          <t>Evidence Based Library and Information Practice</t>
        </is>
      </c>
      <c r="B18" t="n">
        <v>1503</v>
      </c>
      <c r="C18" t="n">
        <v>76</v>
      </c>
      <c r="D18" t="n">
        <v>24024</v>
      </c>
      <c r="E18" t="n">
        <v>9873</v>
      </c>
    </row>
    <row r="19">
      <c r="A19" t="inlineStr">
        <is>
          <t>History of Science in South Asia</t>
        </is>
      </c>
      <c r="B19" t="n">
        <v>64</v>
      </c>
      <c r="C19" t="n">
        <v>13</v>
      </c>
      <c r="D19" t="n">
        <v>1371</v>
      </c>
      <c r="E19" t="n">
        <v>1126</v>
      </c>
    </row>
    <row r="20">
      <c r="A20" t="inlineStr">
        <is>
          <t>IASL Annual Conference Proceedings</t>
        </is>
      </c>
      <c r="B20" t="n">
        <v>976</v>
      </c>
      <c r="C20" t="n">
        <v>26</v>
      </c>
      <c r="D20" t="n">
        <v>5502</v>
      </c>
      <c r="E20" t="n">
        <v>3464</v>
      </c>
    </row>
    <row r="21">
      <c r="A21" t="inlineStr">
        <is>
          <t>Modular and Offsite Construction (MOC) Summit Proceedings</t>
        </is>
      </c>
      <c r="B21" t="n">
        <v>227</v>
      </c>
      <c r="C21" t="n">
        <v>6</v>
      </c>
      <c r="D21" t="n">
        <v>2428</v>
      </c>
      <c r="E21" t="n">
        <v>2558</v>
      </c>
    </row>
    <row r="22">
      <c r="A22" t="inlineStr">
        <is>
          <t>Proceedings of the Annual Conference of CAIS / Actes du congrès annuel de l'ACSI</t>
        </is>
      </c>
      <c r="B22" t="n">
        <v>1629</v>
      </c>
      <c r="C22" t="n">
        <v>48</v>
      </c>
      <c r="D22" t="n">
        <v>5606</v>
      </c>
      <c r="E22" t="n">
        <v>4203</v>
      </c>
    </row>
    <row r="23">
      <c r="A23" t="inlineStr">
        <is>
          <t>Edmonton Journal of Tectonics</t>
        </is>
      </c>
      <c r="B23" t="n">
        <v>0</v>
      </c>
      <c r="C23" t="n">
        <v>0</v>
      </c>
      <c r="D23" t="n">
        <v>0</v>
      </c>
      <c r="E23" t="n">
        <v>0</v>
      </c>
    </row>
    <row r="24">
      <c r="A24" t="inlineStr">
        <is>
          <t>Technology, Information, and Society</t>
        </is>
      </c>
      <c r="B24" t="inlineStr">
        <is>
          <t>0</t>
        </is>
      </c>
      <c r="C24" t="inlineStr">
        <is>
          <t>0</t>
        </is>
      </c>
      <c r="D24" t="inlineStr">
        <is>
          <t>0</t>
        </is>
      </c>
      <c r="E24" t="inlineStr">
        <is>
          <t>0</t>
        </is>
      </c>
    </row>
    <row r="25">
      <c r="A25" t="inlineStr">
        <is>
          <t>Writing across the University of Alberta</t>
        </is>
      </c>
      <c r="B25" t="n">
        <v>39</v>
      </c>
      <c r="C25" t="n">
        <v>4</v>
      </c>
      <c r="D25" t="n">
        <v>291</v>
      </c>
      <c r="E25" t="n">
        <v>335</v>
      </c>
    </row>
    <row r="26">
      <c r="A26" t="inlineStr">
        <is>
          <t>Journal of the Academy of Forensic Nursing</t>
        </is>
      </c>
      <c r="B26" t="inlineStr">
        <is>
          <t>0</t>
        </is>
      </c>
      <c r="C26" t="inlineStr">
        <is>
          <t>0</t>
        </is>
      </c>
      <c r="D26" t="inlineStr">
        <is>
          <t>0</t>
        </is>
      </c>
      <c r="E26" t="inlineStr">
        <is>
          <t>0</t>
        </is>
      </c>
    </row>
    <row r="27">
      <c r="A27" t="inlineStr">
        <is>
          <t>Art/Research International: A Transdisciplinary Journal</t>
        </is>
      </c>
      <c r="B27" t="n">
        <v>260</v>
      </c>
      <c r="C27" t="n">
        <v>16</v>
      </c>
      <c r="D27" t="n">
        <v>5761</v>
      </c>
      <c r="E27" t="n">
        <v>3606</v>
      </c>
    </row>
    <row r="28">
      <c r="A28" t="inlineStr">
        <is>
          <t>Constitutional Forum / Forum constitutionnel</t>
        </is>
      </c>
      <c r="B28" t="n">
        <v>517</v>
      </c>
      <c r="C28" t="n">
        <v>58</v>
      </c>
      <c r="D28" t="n">
        <v>2523</v>
      </c>
      <c r="E28" t="n">
        <v>3508</v>
      </c>
    </row>
    <row r="29">
      <c r="A29" t="inlineStr">
        <is>
          <t>IASSIST Quarterly</t>
        </is>
      </c>
      <c r="B29" t="n">
        <v>745</v>
      </c>
      <c r="C29" t="n">
        <v>158</v>
      </c>
      <c r="D29" t="n">
        <v>4972</v>
      </c>
      <c r="E29" t="n">
        <v>1313</v>
      </c>
    </row>
    <row r="30">
      <c r="A30" t="inlineStr">
        <is>
          <t>Imaginations: Journal of Cross-Cultural Image Studies</t>
        </is>
      </c>
      <c r="B30" t="n">
        <v>323</v>
      </c>
      <c r="C30" t="n">
        <v>30</v>
      </c>
      <c r="D30" t="n">
        <v>4261</v>
      </c>
      <c r="E30" t="n">
        <v>3606</v>
      </c>
    </row>
    <row r="31">
      <c r="A31" t="inlineStr">
        <is>
          <t>International Journal for Leadership in Learning</t>
        </is>
      </c>
      <c r="B31" t="n">
        <v>50</v>
      </c>
      <c r="C31" t="n">
        <v>5</v>
      </c>
      <c r="D31" t="n">
        <v>340</v>
      </c>
      <c r="E31" t="n">
        <v>243</v>
      </c>
    </row>
    <row r="32">
      <c r="A32" t="inlineStr">
        <is>
          <t>International Journal of Critical Care</t>
        </is>
      </c>
      <c r="B32" t="n">
        <v>49</v>
      </c>
      <c r="C32" t="n">
        <v>8</v>
      </c>
      <c r="D32" t="n">
        <v>978</v>
      </c>
      <c r="E32" t="n">
        <v>678</v>
      </c>
    </row>
    <row r="33">
      <c r="A33" t="inlineStr">
        <is>
          <t>International Journal of Industrialized Construction</t>
        </is>
      </c>
      <c r="B33" t="n">
        <v>10</v>
      </c>
      <c r="C33" t="n">
        <v>2</v>
      </c>
      <c r="D33" t="n">
        <v>634</v>
      </c>
      <c r="E33" t="n">
        <v>259</v>
      </c>
    </row>
    <row r="34">
      <c r="A34" t="inlineStr">
        <is>
          <t>The International Review of Information Ethics</t>
        </is>
      </c>
      <c r="B34" t="n">
        <v>395</v>
      </c>
      <c r="C34" t="n">
        <v>34</v>
      </c>
      <c r="D34" t="n">
        <v>5186</v>
      </c>
      <c r="E34" t="n">
        <v>3840</v>
      </c>
    </row>
    <row r="35">
      <c r="A35" t="inlineStr">
        <is>
          <t>Issues in Science and Technology Librarianship</t>
        </is>
      </c>
      <c r="B35" t="n">
        <v>1078</v>
      </c>
      <c r="C35" t="n">
        <v>110</v>
      </c>
      <c r="D35" t="n">
        <v>5964</v>
      </c>
      <c r="E35" t="n">
        <v>3509</v>
      </c>
    </row>
    <row r="36">
      <c r="A36" t="inlineStr">
        <is>
          <t>Journal of Contemporary Issues in Education</t>
        </is>
      </c>
      <c r="B36" t="n">
        <v>224</v>
      </c>
      <c r="C36" t="n">
        <v>35</v>
      </c>
      <c r="D36" t="n">
        <v>2597</v>
      </c>
      <c r="E36" t="n">
        <v>2191</v>
      </c>
    </row>
    <row r="37">
      <c r="A37" t="inlineStr">
        <is>
          <t>The Journal of Hebrew Scriptures</t>
        </is>
      </c>
      <c r="B37" t="n">
        <v>1145</v>
      </c>
      <c r="C37" t="n">
        <v>24</v>
      </c>
      <c r="D37" t="n">
        <v>12466</v>
      </c>
      <c r="E37" t="n">
        <v>4868</v>
      </c>
    </row>
    <row r="38">
      <c r="A38" t="inlineStr">
        <is>
          <t>Journal of Jungian Scholarly Studies</t>
        </is>
      </c>
      <c r="B38" t="n">
        <v>125</v>
      </c>
      <c r="C38" t="n">
        <v>19</v>
      </c>
      <c r="D38" t="n">
        <v>1530</v>
      </c>
      <c r="E38" t="n">
        <v>2344</v>
      </c>
    </row>
    <row r="39">
      <c r="A39" t="inlineStr">
        <is>
          <t>Journal of Juvenilia Studies</t>
        </is>
      </c>
      <c r="B39" t="n">
        <v>81</v>
      </c>
      <c r="C39" t="n">
        <v>11</v>
      </c>
      <c r="D39" t="n">
        <v>688</v>
      </c>
      <c r="E39" t="n">
        <v>501</v>
      </c>
    </row>
    <row r="40">
      <c r="A40" t="inlineStr">
        <is>
          <t>Journal of Practical Nurse Education and Practice</t>
        </is>
      </c>
      <c r="B40" t="n">
        <v>28</v>
      </c>
      <c r="C40" t="n">
        <v>7</v>
      </c>
      <c r="D40" t="n">
        <v>505</v>
      </c>
      <c r="E40" t="n">
        <v>358</v>
      </c>
    </row>
    <row r="41">
      <c r="A41" t="inlineStr">
        <is>
          <t>Journal of the Canadian Health Libraries Association/Journal de l'Association des bibliothèques de la santé du Canada</t>
        </is>
      </c>
      <c r="B41" t="n">
        <v>701</v>
      </c>
      <c r="C41" t="n">
        <v>68</v>
      </c>
      <c r="D41" t="n">
        <v>4517</v>
      </c>
      <c r="E41" t="n">
        <v>3606</v>
      </c>
    </row>
    <row r="42">
      <c r="A42" t="inlineStr">
        <is>
          <t>Language and Literacy</t>
        </is>
      </c>
      <c r="B42" t="n">
        <v>409</v>
      </c>
      <c r="C42" t="n">
        <v>65</v>
      </c>
      <c r="D42" t="n">
        <v>5603</v>
      </c>
      <c r="E42" t="n">
        <v>3614</v>
      </c>
    </row>
    <row r="43">
      <c r="A43" t="inlineStr">
        <is>
          <t>Library and Information Research</t>
        </is>
      </c>
      <c r="B43" t="n">
        <v>553</v>
      </c>
      <c r="C43" t="n">
        <v>69</v>
      </c>
      <c r="D43" t="n">
        <v>4285</v>
      </c>
      <c r="E43" t="n">
        <v>3787</v>
      </c>
    </row>
    <row r="44">
      <c r="A44" t="inlineStr">
        <is>
          <t>Manitoba Law Journal</t>
        </is>
      </c>
      <c r="B44" t="n">
        <v>601</v>
      </c>
      <c r="C44" t="n">
        <v>52</v>
      </c>
      <c r="D44" t="n">
        <v>1703</v>
      </c>
      <c r="E44" t="n">
        <v>2133</v>
      </c>
    </row>
    <row r="45">
      <c r="A45" t="inlineStr">
        <is>
          <t>Scandinavian-Canadian Studies</t>
        </is>
      </c>
      <c r="B45" t="n">
        <v>250</v>
      </c>
      <c r="C45" t="n">
        <v>31</v>
      </c>
      <c r="D45" t="n">
        <v>2878</v>
      </c>
      <c r="E45" t="n">
        <v>1918</v>
      </c>
    </row>
    <row r="46">
      <c r="A46" t="inlineStr">
        <is>
          <t>Socialist Studies/Études Socialistes</t>
        </is>
      </c>
      <c r="B46" t="n">
        <v>395</v>
      </c>
      <c r="C46" t="n">
        <v>27</v>
      </c>
      <c r="D46" t="n">
        <v>4056</v>
      </c>
      <c r="E46" t="n">
        <v>4105</v>
      </c>
    </row>
    <row r="47">
      <c r="A47" t="inlineStr">
        <is>
          <t>TranscUlturAl: A Journal of Translation and Cultural Studies</t>
        </is>
      </c>
      <c r="B47" t="n">
        <v>272</v>
      </c>
      <c r="C47" t="n">
        <v>19</v>
      </c>
      <c r="D47" t="n">
        <v>1820</v>
      </c>
      <c r="E47" t="n">
        <v>1627</v>
      </c>
    </row>
    <row r="48">
      <c r="A48" t="inlineStr">
        <is>
          <t>Vertebrate Anatomy Morphology Palaeontology</t>
        </is>
      </c>
      <c r="B48" t="n">
        <v>60</v>
      </c>
      <c r="C48" t="n">
        <v>11</v>
      </c>
      <c r="D48" t="n">
        <v>960</v>
      </c>
      <c r="E48" t="n">
        <v>537</v>
      </c>
    </row>
    <row r="49">
      <c r="A49" t="inlineStr">
        <is>
          <t>The Wrongful Conviction Law Review</t>
        </is>
      </c>
      <c r="B49" t="n">
        <v>75</v>
      </c>
      <c r="C49" t="n">
        <v>13</v>
      </c>
      <c r="D49" t="n">
        <v>1318</v>
      </c>
      <c r="E49" t="n">
        <v>1961</v>
      </c>
    </row>
    <row r="50">
      <c r="A50" t="inlineStr">
        <is>
          <t>International Kimberlite Conference: Extended Abstracts</t>
        </is>
      </c>
      <c r="B50" t="n">
        <v>2619</v>
      </c>
      <c r="C50" t="n">
        <v>12</v>
      </c>
      <c r="D50" t="n">
        <v>6975</v>
      </c>
      <c r="E50" t="n">
        <v>8881</v>
      </c>
    </row>
    <row r="51">
      <c r="A51" t="inlineStr">
        <is>
          <t>Journal of Aboriginal Economic Development</t>
        </is>
      </c>
      <c r="B51" t="n">
        <v>397</v>
      </c>
      <c r="C51" t="n">
        <v>26</v>
      </c>
      <c r="D51" t="n">
        <v>1224</v>
      </c>
      <c r="E51" t="n">
        <v>1229</v>
      </c>
    </row>
    <row r="52">
      <c r="A52" t="inlineStr">
        <is>
          <t>Religious and Socio-Political Studies Journal</t>
        </is>
      </c>
      <c r="B52" t="n">
        <v>7</v>
      </c>
      <c r="C52" t="n">
        <v>2</v>
      </c>
      <c r="D52" t="n">
        <v>69</v>
      </c>
      <c r="E52" t="n">
        <v>134</v>
      </c>
    </row>
    <row r="53">
      <c r="A53" t="inlineStr">
        <is>
          <t>School Libraries Worldwide</t>
        </is>
      </c>
      <c r="B53" t="n">
        <v>414</v>
      </c>
      <c r="C53" t="n">
        <v>56</v>
      </c>
      <c r="D53" t="n">
        <v>1959</v>
      </c>
      <c r="E53" t="n">
        <v>1912</v>
      </c>
    </row>
    <row r="54">
      <c r="A54" t="inlineStr">
        <is>
          <t>Alberta Academic Review</t>
        </is>
      </c>
      <c r="B54" t="n">
        <v>90</v>
      </c>
      <c r="C54" t="n">
        <v>9</v>
      </c>
      <c r="D54" t="n">
        <v>724</v>
      </c>
      <c r="E54" t="n">
        <v>582</v>
      </c>
    </row>
    <row r="55">
      <c r="A55" t="inlineStr">
        <is>
          <t>Alberta Law Review</t>
        </is>
      </c>
      <c r="B55" t="n">
        <v>2441</v>
      </c>
      <c r="C55" t="n">
        <v>218</v>
      </c>
      <c r="D55" t="n">
        <v>18497</v>
      </c>
      <c r="E55" t="n">
        <v>21050</v>
      </c>
    </row>
    <row r="56">
      <c r="A56" t="inlineStr">
        <is>
          <t>COMPASS</t>
        </is>
      </c>
      <c r="B56" t="n">
        <v>58</v>
      </c>
      <c r="C56" t="n">
        <v>8</v>
      </c>
      <c r="D56" t="n">
        <v>553</v>
      </c>
      <c r="E56" t="n">
        <v>509</v>
      </c>
    </row>
    <row r="57">
      <c r="A57" t="inlineStr">
        <is>
          <t>Connections: A Journal of Language, Media and Culture</t>
        </is>
      </c>
      <c r="B57" t="n">
        <v>23</v>
      </c>
      <c r="C57" t="n">
        <v>2</v>
      </c>
      <c r="D57" t="n">
        <v>421</v>
      </c>
      <c r="E57" t="n">
        <v>229</v>
      </c>
    </row>
    <row r="58">
      <c r="A58" t="inlineStr">
        <is>
          <t>Constellations</t>
        </is>
      </c>
      <c r="B58" t="n">
        <v>230</v>
      </c>
      <c r="C58" t="n">
        <v>27</v>
      </c>
      <c r="D58" t="n">
        <v>2136</v>
      </c>
      <c r="E58" t="n">
        <v>3831</v>
      </c>
    </row>
    <row r="59">
      <c r="A59" t="inlineStr">
        <is>
          <t>Crossings: An Undergraduate Arts Journal</t>
        </is>
      </c>
      <c r="B59" t="n">
        <v>86</v>
      </c>
      <c r="C59" t="n">
        <v>5</v>
      </c>
      <c r="D59" t="n">
        <v>643</v>
      </c>
      <c r="E59" t="n">
        <v>519</v>
      </c>
    </row>
    <row r="60">
      <c r="A60" t="inlineStr">
        <is>
          <t>Eureka</t>
        </is>
      </c>
      <c r="B60" t="n">
        <v>102</v>
      </c>
      <c r="C60" t="n">
        <v>10</v>
      </c>
      <c r="D60" t="n">
        <v>820</v>
      </c>
      <c r="E60" t="n">
        <v>649</v>
      </c>
    </row>
    <row r="61">
      <c r="A61" t="inlineStr">
        <is>
          <t>Health Science Inquiry</t>
        </is>
      </c>
      <c r="B61" t="n">
        <v>319</v>
      </c>
      <c r="C61" t="n">
        <v>13</v>
      </c>
      <c r="D61" t="n">
        <v>2601</v>
      </c>
      <c r="E61" t="n">
        <v>1646</v>
      </c>
    </row>
    <row r="62">
      <c r="A62" t="inlineStr">
        <is>
          <t>Intonations</t>
        </is>
      </c>
      <c r="B62" t="n">
        <v>16</v>
      </c>
      <c r="C62" t="n">
        <v>5</v>
      </c>
      <c r="D62" t="n">
        <v>170</v>
      </c>
      <c r="E62" t="n">
        <v>188</v>
      </c>
    </row>
    <row r="63">
      <c r="A63" t="inlineStr">
        <is>
          <t>INVOKE</t>
        </is>
      </c>
      <c r="B63" t="n">
        <v>36</v>
      </c>
      <c r="C63" t="n">
        <v>8</v>
      </c>
      <c r="D63" t="n">
        <v>554</v>
      </c>
      <c r="E63" t="n">
        <v>741</v>
      </c>
    </row>
    <row r="64">
      <c r="A64" t="inlineStr">
        <is>
          <t>Movement Matters</t>
        </is>
      </c>
      <c r="B64" t="n">
        <v>14</v>
      </c>
      <c r="C64" t="n">
        <v>3</v>
      </c>
      <c r="D64" t="n">
        <v>0</v>
      </c>
      <c r="E64" t="n">
        <v>0</v>
      </c>
    </row>
    <row r="65">
      <c r="A65" t="inlineStr">
        <is>
          <t>Past Imperfect</t>
        </is>
      </c>
      <c r="B65" t="n">
        <v>269</v>
      </c>
      <c r="C65" t="n">
        <v>26</v>
      </c>
      <c r="D65" t="n">
        <v>1891</v>
      </c>
      <c r="E65" t="n">
        <v>2542</v>
      </c>
    </row>
    <row r="66">
      <c r="A66" t="inlineStr">
        <is>
          <t>Pathfinder: A Canadian Journal for Information Science Students and Early Career Professionals</t>
        </is>
      </c>
      <c r="B66" t="n">
        <v>60</v>
      </c>
      <c r="C66" t="n">
        <v>6</v>
      </c>
      <c r="D66" t="n">
        <v>1343</v>
      </c>
      <c r="E66" t="n">
        <v>1107</v>
      </c>
    </row>
    <row r="67">
      <c r="A67" t="inlineStr">
        <is>
          <t>Pathways</t>
        </is>
      </c>
      <c r="B67" t="n">
        <v>36</v>
      </c>
      <c r="C67" t="n">
        <v>4</v>
      </c>
      <c r="D67" t="n">
        <v>597</v>
      </c>
      <c r="E67" t="n">
        <v>420</v>
      </c>
    </row>
    <row r="68">
      <c r="A68" t="inlineStr">
        <is>
          <t>Political Science Undergraduate Review</t>
        </is>
      </c>
      <c r="B68" t="n">
        <v>143</v>
      </c>
      <c r="C68" t="n">
        <v>12</v>
      </c>
      <c r="D68" t="n">
        <v>1034</v>
      </c>
      <c r="E68" t="n">
        <v>1527</v>
      </c>
    </row>
    <row r="69">
      <c r="A69" t="inlineStr">
        <is>
          <t>Spectrum</t>
        </is>
      </c>
      <c r="B69" t="n">
        <v>82</v>
      </c>
      <c r="C69" t="n">
        <v>13</v>
      </c>
      <c r="D69" t="n">
        <v>2133</v>
      </c>
      <c r="E69" t="n">
        <v>1478</v>
      </c>
    </row>
    <row r="70">
      <c r="A70" t="inlineStr">
        <is>
          <t>Topophilia</t>
        </is>
      </c>
      <c r="B70" t="n">
        <v>30</v>
      </c>
      <c r="C70" t="n">
        <v>3</v>
      </c>
      <c r="D70" t="n">
        <v>335</v>
      </c>
      <c r="E70" t="n">
        <v>427</v>
      </c>
    </row>
    <row r="71">
      <c r="A71" t="inlineStr">
        <is>
          <t>Ancient lanka</t>
        </is>
      </c>
      <c r="B71" t="inlineStr">
        <is>
          <t>0</t>
        </is>
      </c>
      <c r="C71" t="inlineStr">
        <is>
          <t>0</t>
        </is>
      </c>
      <c r="D71" t="inlineStr">
        <is>
          <t>0</t>
        </is>
      </c>
      <c r="E71" t="inlineStr">
        <is>
          <t>0</t>
        </is>
      </c>
    </row>
    <row r="72">
      <c r="A72" t="inlineStr">
        <is>
          <t>Behavioural Sciences Undergraduate Journal</t>
        </is>
      </c>
      <c r="B72" t="inlineStr">
        <is>
          <t>0</t>
        </is>
      </c>
      <c r="C72" t="inlineStr">
        <is>
          <t>0</t>
        </is>
      </c>
      <c r="D72" t="inlineStr">
        <is>
          <t>0</t>
        </is>
      </c>
      <c r="E72" t="inlineStr">
        <is>
          <t>0</t>
        </is>
      </c>
    </row>
    <row r="73">
      <c r="A73" t="inlineStr">
        <is>
          <t>Convergences francophones</t>
        </is>
      </c>
      <c r="B73" t="inlineStr">
        <is>
          <t>0</t>
        </is>
      </c>
      <c r="C73" t="inlineStr">
        <is>
          <t>0</t>
        </is>
      </c>
      <c r="D73" t="inlineStr">
        <is>
          <t>0</t>
        </is>
      </c>
      <c r="E73" t="inlineStr">
        <is>
          <t>0</t>
        </is>
      </c>
    </row>
    <row r="74">
      <c r="A74" t="inlineStr">
        <is>
          <t>Experiences in Spanish-English Translation/Experiencias de traducción español-inglés</t>
        </is>
      </c>
      <c r="B74" t="inlineStr">
        <is>
          <t>0</t>
        </is>
      </c>
      <c r="C74" t="inlineStr">
        <is>
          <t>0</t>
        </is>
      </c>
      <c r="D74" t="inlineStr">
        <is>
          <t>0</t>
        </is>
      </c>
      <c r="E74" t="inlineStr">
        <is>
          <t>0</t>
        </is>
      </c>
    </row>
    <row r="75">
      <c r="A75" t="inlineStr">
        <is>
          <t>Imagining SoTL</t>
        </is>
      </c>
      <c r="B75" t="inlineStr">
        <is>
          <t>0</t>
        </is>
      </c>
      <c r="C75" t="inlineStr">
        <is>
          <t>0</t>
        </is>
      </c>
      <c r="D75" t="inlineStr">
        <is>
          <t>0</t>
        </is>
      </c>
      <c r="E75" t="inlineStr">
        <is>
          <t>0</t>
        </is>
      </c>
    </row>
    <row r="76">
      <c r="A76" t="inlineStr">
        <is>
          <t>Mount Royal Undergraduate Humanities Review (MRUHR)</t>
        </is>
      </c>
      <c r="B76" t="n">
        <v>69</v>
      </c>
      <c r="C76" t="n">
        <v>7</v>
      </c>
      <c r="D76" t="n">
        <v>419</v>
      </c>
      <c r="E76" t="n">
        <v>677</v>
      </c>
    </row>
    <row r="77">
      <c r="A77" t="inlineStr">
        <is>
          <t>Economics Student Inquiry</t>
        </is>
      </c>
      <c r="B77" t="n">
        <v>2</v>
      </c>
      <c r="C77" t="n">
        <v>1</v>
      </c>
      <c r="D77" t="n">
        <v>137</v>
      </c>
      <c r="E77" t="n">
        <v>177</v>
      </c>
    </row>
    <row r="78">
      <c r="A78" t="inlineStr">
        <is>
          <t>Histos</t>
        </is>
      </c>
      <c r="B78" t="n">
        <v>618</v>
      </c>
      <c r="C78" t="n">
        <v>33</v>
      </c>
      <c r="D78" t="n">
        <v>0</v>
      </c>
      <c r="E78" t="n">
        <v>0</v>
      </c>
    </row>
    <row r="79">
      <c r="A79" t="inlineStr">
        <is>
          <t>Scientia Canadensis</t>
        </is>
      </c>
      <c r="B79" t="n">
        <v>5</v>
      </c>
      <c r="C79" t="n">
        <v>1</v>
      </c>
      <c r="D79" t="n">
        <v>0</v>
      </c>
      <c r="E79" t="n">
        <v>0</v>
      </c>
    </row>
  </sheetData>
  <mergeCells count="3">
    <mergeCell ref="B1:C1"/>
    <mergeCell ref="A1:A2"/>
    <mergeCell ref="D1:E1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Zhang, Henry</dc:creator>
  <dcterms:created xmlns:dcterms="http://purl.org/dc/terms/" xmlns:xsi="http://www.w3.org/2001/XMLSchema-instance" xsi:type="dcterms:W3CDTF">2024-06-24T16:23:03Z</dcterms:created>
  <dcterms:modified xmlns:dcterms="http://purl.org/dc/terms/" xmlns:xsi="http://www.w3.org/2001/XMLSchema-instance" xsi:type="dcterms:W3CDTF">2024-10-22T17:44:12Z</dcterms:modified>
  <cp:lastModifiedBy>Zhang, Henry</cp:lastModifiedBy>
</cp:coreProperties>
</file>